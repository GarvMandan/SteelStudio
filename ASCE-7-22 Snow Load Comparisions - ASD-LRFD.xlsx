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o1-my.sharepoint.com/personal/mszymborski_arcodb_com/Documents/Documents/New York/"/>
    </mc:Choice>
  </mc:AlternateContent>
  <xr:revisionPtr revIDLastSave="1" documentId="8_{293266BD-B191-4736-8789-A4A4004B11D6}" xr6:coauthVersionLast="47" xr6:coauthVersionMax="47" xr10:uidLastSave="{660A665E-FEEA-418E-9914-8DC0F6C2E4E3}"/>
  <bookViews>
    <workbookView xWindow="-120" yWindow="-120" windowWidth="29040" windowHeight="15720" xr2:uid="{050CE38A-D641-46E2-816A-54DADA8F273A}"/>
  </bookViews>
  <sheets>
    <sheet name="ASCE-7-22 ASD-LRFD Comparision" sheetId="4" r:id="rId1"/>
    <sheet name="ASCE-7-22 Snow Load Calculati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I7" i="4"/>
  <c r="J7" i="4"/>
  <c r="K5" i="4"/>
  <c r="L5" i="4"/>
  <c r="D13" i="5" l="1"/>
  <c r="E12" i="5"/>
  <c r="E17" i="5" s="1"/>
  <c r="F12" i="5"/>
  <c r="G12" i="5"/>
  <c r="G18" i="5" s="1"/>
  <c r="H12" i="5"/>
  <c r="H18" i="5" s="1"/>
  <c r="I12" i="5"/>
  <c r="I18" i="5" s="1"/>
  <c r="J12" i="5"/>
  <c r="J18" i="5" s="1"/>
  <c r="K12" i="5"/>
  <c r="K18" i="5" s="1"/>
  <c r="L12" i="5"/>
  <c r="L18" i="5" s="1"/>
  <c r="M12" i="5"/>
  <c r="M18" i="5" s="1"/>
  <c r="N12" i="5"/>
  <c r="N18" i="5" s="1"/>
  <c r="O12" i="5"/>
  <c r="O18" i="5" s="1"/>
  <c r="P12" i="5"/>
  <c r="P18" i="5" s="1"/>
  <c r="Q12" i="5"/>
  <c r="Q18" i="5" s="1"/>
  <c r="R12" i="5"/>
  <c r="R18" i="5" s="1"/>
  <c r="D12" i="5"/>
  <c r="D18" i="5" s="1"/>
  <c r="G5" i="4"/>
  <c r="G17" i="5"/>
  <c r="F18" i="5"/>
  <c r="F17" i="5"/>
  <c r="G13" i="5"/>
  <c r="G23" i="5" s="1"/>
  <c r="H13" i="5"/>
  <c r="I13" i="5"/>
  <c r="I21" i="5" s="1"/>
  <c r="J13" i="5"/>
  <c r="J19" i="5" s="1"/>
  <c r="K13" i="5"/>
  <c r="L13" i="5"/>
  <c r="M13" i="5"/>
  <c r="M19" i="5" s="1"/>
  <c r="N13" i="5"/>
  <c r="N19" i="5" s="1"/>
  <c r="O13" i="5"/>
  <c r="O19" i="5" s="1"/>
  <c r="P13" i="5"/>
  <c r="Q13" i="5"/>
  <c r="R13" i="5"/>
  <c r="E13" i="5"/>
  <c r="F13" i="5"/>
  <c r="F23" i="5" s="1"/>
  <c r="U5" i="4"/>
  <c r="U17" i="4" s="1"/>
  <c r="T5" i="4"/>
  <c r="T17" i="4" s="1"/>
  <c r="S5" i="4"/>
  <c r="S17" i="4" s="1"/>
  <c r="R5" i="4"/>
  <c r="R17" i="4" s="1"/>
  <c r="Q5" i="4"/>
  <c r="Q11" i="4" s="1"/>
  <c r="P5" i="4"/>
  <c r="O5" i="4"/>
  <c r="O17" i="4" s="1"/>
  <c r="N5" i="4"/>
  <c r="N17" i="4" s="1"/>
  <c r="M5" i="4"/>
  <c r="M17" i="4" s="1"/>
  <c r="L17" i="4"/>
  <c r="K17" i="4"/>
  <c r="J5" i="4"/>
  <c r="J17" i="4" s="1"/>
  <c r="I5" i="4"/>
  <c r="I11" i="4" s="1"/>
  <c r="H5" i="4"/>
  <c r="H11" i="4" s="1"/>
  <c r="I17" i="5" l="1"/>
  <c r="Q17" i="5"/>
  <c r="D21" i="5"/>
  <c r="G11" i="4"/>
  <c r="H17" i="5"/>
  <c r="H21" i="5"/>
  <c r="P17" i="4"/>
  <c r="Q17" i="4"/>
  <c r="G17" i="4"/>
  <c r="P17" i="5"/>
  <c r="N17" i="5"/>
  <c r="I17" i="4"/>
  <c r="O17" i="5"/>
  <c r="M17" i="5"/>
  <c r="H17" i="4"/>
  <c r="K21" i="5"/>
  <c r="L17" i="5"/>
  <c r="L23" i="5"/>
  <c r="K17" i="5"/>
  <c r="J17" i="5"/>
  <c r="L24" i="5"/>
  <c r="N22" i="5"/>
  <c r="R17" i="5"/>
  <c r="E18" i="5"/>
  <c r="P24" i="5"/>
  <c r="E21" i="5"/>
  <c r="R22" i="5"/>
  <c r="Q24" i="5"/>
  <c r="D17" i="5"/>
  <c r="K24" i="5"/>
  <c r="J24" i="5"/>
  <c r="K23" i="5"/>
  <c r="K20" i="5"/>
  <c r="N24" i="5"/>
  <c r="O24" i="5"/>
  <c r="M24" i="5"/>
  <c r="J20" i="5"/>
  <c r="J23" i="5"/>
  <c r="O22" i="5"/>
  <c r="K22" i="5"/>
  <c r="J22" i="5"/>
  <c r="P21" i="5"/>
  <c r="R20" i="5"/>
  <c r="Q22" i="5"/>
  <c r="P22" i="5"/>
  <c r="Q20" i="5"/>
  <c r="D24" i="5"/>
  <c r="P20" i="5"/>
  <c r="M20" i="5"/>
  <c r="L20" i="5"/>
  <c r="R11" i="4"/>
  <c r="T11" i="4"/>
  <c r="S11" i="4"/>
  <c r="K11" i="4"/>
  <c r="J11" i="4"/>
  <c r="L11" i="4"/>
  <c r="O11" i="4"/>
  <c r="P11" i="4"/>
  <c r="M11" i="4"/>
  <c r="N11" i="4"/>
  <c r="U11" i="4"/>
  <c r="I24" i="5"/>
  <c r="I20" i="5"/>
  <c r="H24" i="5"/>
  <c r="I19" i="5"/>
  <c r="G24" i="5"/>
  <c r="H19" i="5"/>
  <c r="I22" i="5"/>
  <c r="G21" i="5"/>
  <c r="G19" i="5"/>
  <c r="I23" i="5"/>
  <c r="D23" i="5"/>
  <c r="M22" i="5"/>
  <c r="O20" i="5"/>
  <c r="E22" i="5"/>
  <c r="L22" i="5"/>
  <c r="N20" i="5"/>
  <c r="E24" i="5"/>
  <c r="E20" i="5"/>
  <c r="R23" i="5"/>
  <c r="H22" i="5"/>
  <c r="D20" i="5"/>
  <c r="Q23" i="5"/>
  <c r="G22" i="5"/>
  <c r="E19" i="5"/>
  <c r="P23" i="5"/>
  <c r="R21" i="5"/>
  <c r="H20" i="5"/>
  <c r="D19" i="5"/>
  <c r="O23" i="5"/>
  <c r="Q21" i="5"/>
  <c r="G20" i="5"/>
  <c r="E23" i="5"/>
  <c r="O21" i="5"/>
  <c r="N23" i="5"/>
  <c r="R19" i="5"/>
  <c r="M23" i="5"/>
  <c r="Q19" i="5"/>
  <c r="D22" i="5"/>
  <c r="N21" i="5"/>
  <c r="M21" i="5"/>
  <c r="F19" i="5"/>
  <c r="L21" i="5"/>
  <c r="F20" i="5"/>
  <c r="R24" i="5"/>
  <c r="H23" i="5"/>
  <c r="J21" i="5"/>
  <c r="L19" i="5"/>
  <c r="F22" i="5"/>
  <c r="K19" i="5"/>
  <c r="F24" i="5"/>
  <c r="P19" i="5"/>
  <c r="F21" i="5"/>
  <c r="K15" i="5" l="1"/>
  <c r="K27" i="5" s="1"/>
  <c r="N6" i="4" s="1"/>
  <c r="O15" i="5"/>
  <c r="O27" i="5" s="1"/>
  <c r="R6" i="4" s="1"/>
  <c r="N15" i="5"/>
  <c r="N27" i="5" s="1"/>
  <c r="Q6" i="4" s="1"/>
  <c r="J15" i="5"/>
  <c r="L15" i="5"/>
  <c r="L27" i="5" s="1"/>
  <c r="O6" i="4" s="1"/>
  <c r="O7" i="4" s="1"/>
  <c r="E15" i="5"/>
  <c r="E27" i="5" s="1"/>
  <c r="H6" i="4" s="1"/>
  <c r="H19" i="4" s="1"/>
  <c r="I15" i="5"/>
  <c r="I27" i="5" s="1"/>
  <c r="L6" i="4" s="1"/>
  <c r="D15" i="5"/>
  <c r="M15" i="5"/>
  <c r="M27" i="5" s="1"/>
  <c r="P6" i="4" s="1"/>
  <c r="H15" i="5"/>
  <c r="H27" i="5" s="1"/>
  <c r="K6" i="4" s="1"/>
  <c r="R15" i="5"/>
  <c r="R27" i="5" s="1"/>
  <c r="U6" i="4" s="1"/>
  <c r="U7" i="4" s="1"/>
  <c r="G15" i="5"/>
  <c r="G27" i="5" s="1"/>
  <c r="J6" i="4" s="1"/>
  <c r="P15" i="5"/>
  <c r="P27" i="5" s="1"/>
  <c r="S6" i="4" s="1"/>
  <c r="S7" i="4" s="1"/>
  <c r="Q15" i="5"/>
  <c r="Q27" i="5" s="1"/>
  <c r="T6" i="4" s="1"/>
  <c r="T7" i="4" s="1"/>
  <c r="F15" i="5"/>
  <c r="F27" i="5" s="1"/>
  <c r="I6" i="4" s="1"/>
  <c r="Q13" i="4" l="1"/>
  <c r="Q7" i="4"/>
  <c r="Q12" i="4" s="1"/>
  <c r="R13" i="4"/>
  <c r="R7" i="4"/>
  <c r="R12" i="4" s="1"/>
  <c r="P7" i="4"/>
  <c r="P18" i="4" s="1"/>
  <c r="P13" i="4"/>
  <c r="L7" i="4"/>
  <c r="L18" i="4" s="1"/>
  <c r="L13" i="4"/>
  <c r="N19" i="4"/>
  <c r="N7" i="4"/>
  <c r="N18" i="4" s="1"/>
  <c r="K7" i="4"/>
  <c r="K18" i="4" s="1"/>
  <c r="K13" i="4"/>
  <c r="N13" i="4"/>
  <c r="S19" i="4"/>
  <c r="O19" i="4"/>
  <c r="U19" i="4"/>
  <c r="L19" i="4"/>
  <c r="R19" i="4"/>
  <c r="K19" i="4"/>
  <c r="P19" i="4"/>
  <c r="Q19" i="4"/>
  <c r="J19" i="4"/>
  <c r="J27" i="5"/>
  <c r="M6" i="4" s="1"/>
  <c r="M7" i="4" s="1"/>
  <c r="I19" i="4"/>
  <c r="T19" i="4"/>
  <c r="T18" i="4"/>
  <c r="D27" i="5"/>
  <c r="G6" i="4" s="1"/>
  <c r="J18" i="4"/>
  <c r="J13" i="4"/>
  <c r="U18" i="4"/>
  <c r="U13" i="4"/>
  <c r="U12" i="4"/>
  <c r="I18" i="4"/>
  <c r="I12" i="4"/>
  <c r="I13" i="4"/>
  <c r="T12" i="4"/>
  <c r="T13" i="4"/>
  <c r="S18" i="4"/>
  <c r="S13" i="4"/>
  <c r="S12" i="4"/>
  <c r="H12" i="4"/>
  <c r="H13" i="4"/>
  <c r="O18" i="4"/>
  <c r="O13" i="4"/>
  <c r="O12" i="4"/>
  <c r="G7" i="4" l="1"/>
  <c r="G18" i="4" s="1"/>
  <c r="N12" i="4"/>
  <c r="N14" i="4" s="1"/>
  <c r="N20" i="4"/>
  <c r="R18" i="4"/>
  <c r="L12" i="4"/>
  <c r="R14" i="4"/>
  <c r="P12" i="4"/>
  <c r="P14" i="4" s="1"/>
  <c r="J20" i="4"/>
  <c r="K12" i="4"/>
  <c r="Q14" i="4"/>
  <c r="S14" i="4"/>
  <c r="T20" i="4"/>
  <c r="P20" i="4"/>
  <c r="U14" i="4"/>
  <c r="J12" i="4"/>
  <c r="U20" i="4"/>
  <c r="Q18" i="4"/>
  <c r="M19" i="4"/>
  <c r="M13" i="4"/>
  <c r="M12" i="4"/>
  <c r="H18" i="4"/>
  <c r="G19" i="4"/>
  <c r="G13" i="4"/>
  <c r="K20" i="4"/>
  <c r="T14" i="4"/>
  <c r="S20" i="4"/>
  <c r="L20" i="4"/>
  <c r="I14" i="4"/>
  <c r="O14" i="4"/>
  <c r="O20" i="4"/>
  <c r="H14" i="4"/>
  <c r="I20" i="4"/>
  <c r="G12" i="4" l="1"/>
  <c r="G14" i="4" s="1"/>
  <c r="R20" i="4"/>
  <c r="H20" i="4"/>
  <c r="J14" i="4"/>
  <c r="Q20" i="4"/>
  <c r="L14" i="4"/>
  <c r="M14" i="4"/>
  <c r="K14" i="4"/>
  <c r="M18" i="4"/>
  <c r="G20" i="4" l="1"/>
  <c r="M20" i="4"/>
</calcChain>
</file>

<file path=xl/sharedStrings.xml><?xml version="1.0" encoding="utf-8"?>
<sst xmlns="http://schemas.openxmlformats.org/spreadsheetml/2006/main" count="32" uniqueCount="31">
  <si>
    <t>Design DL</t>
  </si>
  <si>
    <t>Roof Snow Load</t>
  </si>
  <si>
    <t>Ground Snow Loads</t>
  </si>
  <si>
    <t>Used DL</t>
  </si>
  <si>
    <t>PSF</t>
  </si>
  <si>
    <t>Wind Load</t>
  </si>
  <si>
    <t>D</t>
  </si>
  <si>
    <t>Delta</t>
  </si>
  <si>
    <t>D+0.7S</t>
  </si>
  <si>
    <t>D+0.75(0.6W)+0.75(0.7S)</t>
  </si>
  <si>
    <t>ASD</t>
  </si>
  <si>
    <t>1.4D</t>
  </si>
  <si>
    <t>LRFD</t>
  </si>
  <si>
    <t>Roofing R Value</t>
  </si>
  <si>
    <t>Ground Snow Load</t>
  </si>
  <si>
    <t>ASCE-7-22 Load Combination Comparision</t>
  </si>
  <si>
    <t>Roof R Value</t>
  </si>
  <si>
    <t>Ground Snow</t>
  </si>
  <si>
    <t>X1</t>
  </si>
  <si>
    <t>X2</t>
  </si>
  <si>
    <t>Y1</t>
  </si>
  <si>
    <t>Y2</t>
  </si>
  <si>
    <t>Q11</t>
  </si>
  <si>
    <t>Q21</t>
  </si>
  <si>
    <t>Q12</t>
  </si>
  <si>
    <t>Q22</t>
  </si>
  <si>
    <t>Interpolated Value (Ct)</t>
  </si>
  <si>
    <t>Flat Snow Load</t>
  </si>
  <si>
    <t>Minimum Snow Load</t>
  </si>
  <si>
    <t>1.2D+W+0.3(S)</t>
  </si>
  <si>
    <t>1.2D+S+0.5W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</si>
</sst>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0" borderId="1" xfId="0" applyBorder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930D-5CA1-4DC2-B929-7D34D8EE6338}">
  <dimension ref="A2:U20"/>
  <sheetViews>
    <sheetView tabSelected="1" zoomScaleNormal="100" workbookViewId="0">
      <selection activeCell="G4" sqref="G4"/>
    </sheetView>
  </sheetViews>
  <sheetFormatPr defaultRowHeight="15" x14ac:dyDescent="0.25"/>
  <cols>
    <col min="2" max="2" width="17.7109375" customWidth="1"/>
    <col min="3" max="3" width="10.28515625" customWidth="1"/>
    <col min="6" max="6" width="25" bestFit="1" customWidth="1"/>
    <col min="7" max="7" width="8.140625" customWidth="1"/>
    <col min="8" max="13" width="9.5703125" hidden="1" customWidth="1"/>
    <col min="14" max="14" width="12" hidden="1" customWidth="1"/>
    <col min="15" max="18" width="9.5703125" hidden="1" customWidth="1"/>
    <col min="19" max="21" width="0" hidden="1" customWidth="1"/>
  </cols>
  <sheetData>
    <row r="2" spans="1:21" x14ac:dyDescent="0.25">
      <c r="A2" t="s">
        <v>15</v>
      </c>
    </row>
    <row r="4" spans="1:21" x14ac:dyDescent="0.25">
      <c r="B4" t="s">
        <v>3</v>
      </c>
      <c r="C4" s="1">
        <v>10</v>
      </c>
      <c r="D4" t="s">
        <v>4</v>
      </c>
      <c r="F4" t="s">
        <v>2</v>
      </c>
      <c r="G4" s="13">
        <v>58</v>
      </c>
      <c r="H4" s="6">
        <v>20</v>
      </c>
      <c r="I4" s="5">
        <v>25</v>
      </c>
      <c r="J4" s="6">
        <v>30</v>
      </c>
      <c r="K4" s="5">
        <v>36</v>
      </c>
      <c r="L4" s="6">
        <v>40</v>
      </c>
      <c r="M4" s="5">
        <v>48</v>
      </c>
      <c r="N4" s="6">
        <v>50</v>
      </c>
      <c r="O4" s="5">
        <v>55</v>
      </c>
      <c r="P4" s="6">
        <v>60</v>
      </c>
      <c r="Q4" s="5">
        <v>65</v>
      </c>
      <c r="R4" s="6">
        <v>70</v>
      </c>
      <c r="S4" s="5">
        <v>75</v>
      </c>
      <c r="T4" s="6">
        <v>80</v>
      </c>
      <c r="U4" s="5">
        <v>85</v>
      </c>
    </row>
    <row r="5" spans="1:21" x14ac:dyDescent="0.25">
      <c r="B5" t="s">
        <v>13</v>
      </c>
      <c r="C5" s="3">
        <v>20</v>
      </c>
      <c r="F5" t="s">
        <v>0</v>
      </c>
      <c r="G5" s="5">
        <f>$C$4</f>
        <v>10</v>
      </c>
      <c r="H5" s="6">
        <f t="shared" ref="H5:U5" si="0">$C$4</f>
        <v>10</v>
      </c>
      <c r="I5" s="5">
        <f t="shared" si="0"/>
        <v>10</v>
      </c>
      <c r="J5" s="6">
        <f t="shared" si="0"/>
        <v>10</v>
      </c>
      <c r="K5" s="5">
        <f t="shared" si="0"/>
        <v>10</v>
      </c>
      <c r="L5" s="6">
        <f t="shared" si="0"/>
        <v>10</v>
      </c>
      <c r="M5" s="5">
        <f t="shared" si="0"/>
        <v>10</v>
      </c>
      <c r="N5" s="6">
        <f t="shared" si="0"/>
        <v>10</v>
      </c>
      <c r="O5" s="5">
        <f t="shared" si="0"/>
        <v>10</v>
      </c>
      <c r="P5" s="6">
        <f t="shared" si="0"/>
        <v>10</v>
      </c>
      <c r="Q5" s="5">
        <f t="shared" si="0"/>
        <v>10</v>
      </c>
      <c r="R5" s="6">
        <f t="shared" si="0"/>
        <v>10</v>
      </c>
      <c r="S5" s="5">
        <f t="shared" si="0"/>
        <v>10</v>
      </c>
      <c r="T5" s="6">
        <f t="shared" si="0"/>
        <v>10</v>
      </c>
      <c r="U5" s="5">
        <f t="shared" si="0"/>
        <v>10</v>
      </c>
    </row>
    <row r="6" spans="1:21" x14ac:dyDescent="0.25">
      <c r="F6" t="s">
        <v>1</v>
      </c>
      <c r="G6" s="7">
        <f>'ASCE-7-22 Snow Load Calculation'!D27</f>
        <v>41.62853333333333</v>
      </c>
      <c r="H6" s="8">
        <f>'ASCE-7-22 Snow Load Calculation'!E27</f>
        <v>16.426666666666666</v>
      </c>
      <c r="I6" s="7">
        <f>'ASCE-7-22 Snow Load Calculation'!F27</f>
        <v>20.066666666666666</v>
      </c>
      <c r="J6" s="8">
        <f>'ASCE-7-22 Snow Load Calculation'!G27</f>
        <v>23.520000000000003</v>
      </c>
      <c r="K6" s="7">
        <f>'ASCE-7-22 Snow Load Calculation'!H27</f>
        <v>27.619200000000003</v>
      </c>
      <c r="L6" s="8">
        <f>'ASCE-7-22 Snow Load Calculation'!I27</f>
        <v>30.240000000000009</v>
      </c>
      <c r="M6" s="7">
        <f>'ASCE-7-22 Snow Load Calculation'!J27</f>
        <v>35.347199999999994</v>
      </c>
      <c r="N6" s="8">
        <f>'ASCE-7-22 Snow Load Calculation'!K27</f>
        <v>36.633333333333333</v>
      </c>
      <c r="O6" s="7">
        <f>'ASCE-7-22 Snow Load Calculation'!L27</f>
        <v>39.783333333333339</v>
      </c>
      <c r="P6" s="8">
        <f>'ASCE-7-22 Snow Load Calculation'!M27</f>
        <v>42.84</v>
      </c>
      <c r="Q6" s="7">
        <f>'ASCE-7-22 Snow Load Calculation'!N27</f>
        <v>46.106666666666669</v>
      </c>
      <c r="R6" s="8">
        <f>'ASCE-7-22 Snow Load Calculation'!O27</f>
        <v>49.326666666666661</v>
      </c>
      <c r="S6" s="7">
        <f>'ASCE-7-22 Snow Load Calculation'!P27</f>
        <v>52.5</v>
      </c>
      <c r="T6" s="8">
        <f>'ASCE-7-22 Snow Load Calculation'!Q27</f>
        <v>56</v>
      </c>
      <c r="U6" s="7">
        <f>'ASCE-7-22 Snow Load Calculation'!R27</f>
        <v>59.499999999999993</v>
      </c>
    </row>
    <row r="7" spans="1:21" x14ac:dyDescent="0.25">
      <c r="F7" t="s">
        <v>28</v>
      </c>
      <c r="G7" s="8">
        <f>IF(G4&lt;=30,G4*0.7+8,G6)</f>
        <v>41.62853333333333</v>
      </c>
      <c r="H7" s="8">
        <f t="shared" ref="H7:I7" si="1">IF(H4&lt;=30,H4*0.7+8,H6)</f>
        <v>22</v>
      </c>
      <c r="I7" s="8">
        <f t="shared" si="1"/>
        <v>25.5</v>
      </c>
      <c r="J7" s="8">
        <f>IF(J4&lt;=30,J4*0.7+8,J6)</f>
        <v>29</v>
      </c>
      <c r="K7" s="8">
        <f>IF(K4&lt;=30,K4*0.7+8,K6)</f>
        <v>27.619200000000003</v>
      </c>
      <c r="L7" s="8">
        <f t="shared" ref="L7:U7" si="2">IF(L4&lt;=30,L4*0.7+8,L6)</f>
        <v>30.240000000000009</v>
      </c>
      <c r="M7" s="8">
        <f t="shared" si="2"/>
        <v>35.347199999999994</v>
      </c>
      <c r="N7" s="8">
        <f t="shared" si="2"/>
        <v>36.633333333333333</v>
      </c>
      <c r="O7" s="8">
        <f t="shared" si="2"/>
        <v>39.783333333333339</v>
      </c>
      <c r="P7" s="8">
        <f t="shared" si="2"/>
        <v>42.84</v>
      </c>
      <c r="Q7" s="8">
        <f t="shared" si="2"/>
        <v>46.106666666666669</v>
      </c>
      <c r="R7" s="8">
        <f t="shared" si="2"/>
        <v>49.326666666666661</v>
      </c>
      <c r="S7" s="8">
        <f t="shared" si="2"/>
        <v>52.5</v>
      </c>
      <c r="T7" s="8">
        <f t="shared" si="2"/>
        <v>56</v>
      </c>
      <c r="U7" s="8">
        <f t="shared" si="2"/>
        <v>59.499999999999993</v>
      </c>
    </row>
    <row r="8" spans="1:21" x14ac:dyDescent="0.25">
      <c r="F8" t="s">
        <v>5</v>
      </c>
      <c r="G8" s="5">
        <v>16</v>
      </c>
      <c r="H8" s="6">
        <v>16</v>
      </c>
      <c r="I8" s="5">
        <v>16</v>
      </c>
      <c r="J8" s="6">
        <v>16</v>
      </c>
      <c r="K8" s="5">
        <v>16</v>
      </c>
      <c r="L8" s="6">
        <v>16</v>
      </c>
      <c r="M8" s="5">
        <v>16</v>
      </c>
      <c r="N8" s="6">
        <v>16</v>
      </c>
      <c r="O8" s="5">
        <v>16</v>
      </c>
      <c r="P8" s="6">
        <v>16</v>
      </c>
      <c r="Q8" s="5">
        <v>16</v>
      </c>
      <c r="R8" s="6">
        <v>16</v>
      </c>
      <c r="S8" s="5">
        <v>16</v>
      </c>
      <c r="T8" s="6">
        <v>16</v>
      </c>
      <c r="U8" s="5">
        <v>16</v>
      </c>
    </row>
    <row r="9" spans="1:21" x14ac:dyDescent="0.25">
      <c r="C9" s="2"/>
      <c r="G9" s="5"/>
      <c r="H9" s="6"/>
      <c r="I9" s="5"/>
      <c r="J9" s="6"/>
      <c r="K9" s="5"/>
      <c r="L9" s="6"/>
      <c r="M9" s="5"/>
      <c r="N9" s="6"/>
      <c r="O9" s="5"/>
      <c r="P9" s="6"/>
      <c r="Q9" s="5"/>
      <c r="R9" s="6"/>
      <c r="S9" s="5"/>
      <c r="T9" s="6"/>
      <c r="U9" s="5"/>
    </row>
    <row r="10" spans="1:21" x14ac:dyDescent="0.25">
      <c r="C10" s="2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  <c r="S10" s="5"/>
      <c r="T10" s="6"/>
      <c r="U10" s="5"/>
    </row>
    <row r="11" spans="1:21" x14ac:dyDescent="0.25">
      <c r="E11" t="s">
        <v>10</v>
      </c>
      <c r="F11" t="s">
        <v>6</v>
      </c>
      <c r="G11" s="5">
        <f>G5</f>
        <v>10</v>
      </c>
      <c r="H11" s="6">
        <f t="shared" ref="H11:U11" si="3">H5</f>
        <v>10</v>
      </c>
      <c r="I11" s="5">
        <f t="shared" si="3"/>
        <v>10</v>
      </c>
      <c r="J11" s="6">
        <f t="shared" si="3"/>
        <v>10</v>
      </c>
      <c r="K11" s="5">
        <f t="shared" si="3"/>
        <v>10</v>
      </c>
      <c r="L11" s="6">
        <f t="shared" si="3"/>
        <v>10</v>
      </c>
      <c r="M11" s="5">
        <f t="shared" si="3"/>
        <v>10</v>
      </c>
      <c r="N11" s="6">
        <f t="shared" si="3"/>
        <v>10</v>
      </c>
      <c r="O11" s="5">
        <f t="shared" si="3"/>
        <v>10</v>
      </c>
      <c r="P11" s="6">
        <f t="shared" si="3"/>
        <v>10</v>
      </c>
      <c r="Q11" s="5">
        <f t="shared" si="3"/>
        <v>10</v>
      </c>
      <c r="R11" s="6">
        <f t="shared" si="3"/>
        <v>10</v>
      </c>
      <c r="S11" s="5">
        <f t="shared" si="3"/>
        <v>10</v>
      </c>
      <c r="T11" s="6">
        <f t="shared" si="3"/>
        <v>10</v>
      </c>
      <c r="U11" s="5">
        <f t="shared" si="3"/>
        <v>10</v>
      </c>
    </row>
    <row r="12" spans="1:21" x14ac:dyDescent="0.25">
      <c r="F12" t="s">
        <v>8</v>
      </c>
      <c r="G12" s="7">
        <f>G5+0.7*MAX(G6,G7)</f>
        <v>39.13997333333333</v>
      </c>
      <c r="H12" s="8">
        <f t="shared" ref="H12:U12" si="4">H5+0.7*MAX(H6,H7)</f>
        <v>25.4</v>
      </c>
      <c r="I12" s="7">
        <f t="shared" si="4"/>
        <v>27.849999999999998</v>
      </c>
      <c r="J12" s="8">
        <f t="shared" si="4"/>
        <v>30.299999999999997</v>
      </c>
      <c r="K12" s="7">
        <f t="shared" si="4"/>
        <v>29.33344</v>
      </c>
      <c r="L12" s="8">
        <f>L5+0.7*MAX(L6,L7)</f>
        <v>31.168000000000006</v>
      </c>
      <c r="M12" s="7">
        <f t="shared" si="4"/>
        <v>34.743039999999993</v>
      </c>
      <c r="N12" s="8">
        <f t="shared" si="4"/>
        <v>35.643333333333331</v>
      </c>
      <c r="O12" s="7">
        <f t="shared" si="4"/>
        <v>37.848333333333336</v>
      </c>
      <c r="P12" s="8">
        <f t="shared" si="4"/>
        <v>39.988</v>
      </c>
      <c r="Q12" s="7">
        <f t="shared" si="4"/>
        <v>42.274666666666668</v>
      </c>
      <c r="R12" s="8">
        <f t="shared" si="4"/>
        <v>44.528666666666659</v>
      </c>
      <c r="S12" s="7">
        <f t="shared" si="4"/>
        <v>46.75</v>
      </c>
      <c r="T12" s="8">
        <f t="shared" si="4"/>
        <v>49.199999999999996</v>
      </c>
      <c r="U12" s="7">
        <f t="shared" si="4"/>
        <v>51.649999999999991</v>
      </c>
    </row>
    <row r="13" spans="1:21" x14ac:dyDescent="0.25">
      <c r="F13" t="s">
        <v>9</v>
      </c>
      <c r="G13" s="7">
        <f>G5+0.75*(0.6*G8)+0.75*0.7*G6</f>
        <v>39.054979999999993</v>
      </c>
      <c r="H13" s="8">
        <f t="shared" ref="H13:U13" si="5">H5+0.75*(0.6*H8)+0.75*0.7*H6</f>
        <v>25.823999999999998</v>
      </c>
      <c r="I13" s="7">
        <f t="shared" si="5"/>
        <v>27.734999999999999</v>
      </c>
      <c r="J13" s="8">
        <f t="shared" si="5"/>
        <v>29.547999999999998</v>
      </c>
      <c r="K13" s="7">
        <f t="shared" si="5"/>
        <v>31.70008</v>
      </c>
      <c r="L13" s="8">
        <f t="shared" si="5"/>
        <v>33.076000000000001</v>
      </c>
      <c r="M13" s="7">
        <f t="shared" si="5"/>
        <v>35.757279999999994</v>
      </c>
      <c r="N13" s="8">
        <f t="shared" si="5"/>
        <v>36.432499999999997</v>
      </c>
      <c r="O13" s="7">
        <f t="shared" si="5"/>
        <v>38.08625</v>
      </c>
      <c r="P13" s="8">
        <f t="shared" si="5"/>
        <v>39.691000000000003</v>
      </c>
      <c r="Q13" s="7">
        <f>Q5+0.75*(0.6*Q8)+0.75*0.7*Q6</f>
        <v>41.405999999999992</v>
      </c>
      <c r="R13" s="8">
        <f t="shared" si="5"/>
        <v>43.096499999999992</v>
      </c>
      <c r="S13" s="7">
        <f t="shared" si="5"/>
        <v>44.762499999999996</v>
      </c>
      <c r="T13" s="8">
        <f t="shared" si="5"/>
        <v>46.599999999999994</v>
      </c>
      <c r="U13" s="7">
        <f t="shared" si="5"/>
        <v>48.437499999999986</v>
      </c>
    </row>
    <row r="14" spans="1:21" x14ac:dyDescent="0.25">
      <c r="F14" t="s">
        <v>7</v>
      </c>
      <c r="G14" s="7">
        <f>G12-G13</f>
        <v>8.4993333333336807E-2</v>
      </c>
      <c r="H14" s="8">
        <f t="shared" ref="H14:U14" si="6">H12-H13</f>
        <v>-0.42399999999999949</v>
      </c>
      <c r="I14" s="7">
        <f t="shared" si="6"/>
        <v>0.11499999999999844</v>
      </c>
      <c r="J14" s="8">
        <f t="shared" si="6"/>
        <v>0.75199999999999889</v>
      </c>
      <c r="K14" s="7">
        <f t="shared" si="6"/>
        <v>-2.3666400000000003</v>
      </c>
      <c r="L14" s="8">
        <f t="shared" si="6"/>
        <v>-1.9079999999999941</v>
      </c>
      <c r="M14" s="7">
        <f t="shared" si="6"/>
        <v>-1.0142400000000009</v>
      </c>
      <c r="N14" s="8">
        <f t="shared" si="6"/>
        <v>-0.78916666666666657</v>
      </c>
      <c r="O14" s="7">
        <f t="shared" si="6"/>
        <v>-0.23791666666666345</v>
      </c>
      <c r="P14" s="8">
        <f t="shared" si="6"/>
        <v>0.29699999999999704</v>
      </c>
      <c r="Q14" s="7">
        <f t="shared" si="6"/>
        <v>0.86866666666667669</v>
      </c>
      <c r="R14" s="8">
        <f t="shared" si="6"/>
        <v>1.4321666666666673</v>
      </c>
      <c r="S14" s="7">
        <f t="shared" si="6"/>
        <v>1.9875000000000043</v>
      </c>
      <c r="T14" s="8">
        <f t="shared" si="6"/>
        <v>2.6000000000000014</v>
      </c>
      <c r="U14" s="7">
        <f t="shared" si="6"/>
        <v>3.2125000000000057</v>
      </c>
    </row>
    <row r="15" spans="1:21" x14ac:dyDescent="0.25"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25">
      <c r="G16" s="7"/>
      <c r="H16" s="8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8"/>
      <c r="U16" s="7"/>
    </row>
    <row r="17" spans="5:21" x14ac:dyDescent="0.25">
      <c r="E17" t="s">
        <v>12</v>
      </c>
      <c r="F17" t="s">
        <v>11</v>
      </c>
      <c r="G17" s="7">
        <f>G5*1.4</f>
        <v>14</v>
      </c>
      <c r="H17" s="8">
        <f>H5*1.4</f>
        <v>14</v>
      </c>
      <c r="I17" s="7">
        <f>I5*1.4</f>
        <v>14</v>
      </c>
      <c r="J17" s="8">
        <f>J5*1.4</f>
        <v>14</v>
      </c>
      <c r="K17" s="7">
        <f>K5*1.4</f>
        <v>14</v>
      </c>
      <c r="L17" s="8">
        <f>L5*1.4</f>
        <v>14</v>
      </c>
      <c r="M17" s="7">
        <f>M5*1.4</f>
        <v>14</v>
      </c>
      <c r="N17" s="8">
        <f>N5*1.4</f>
        <v>14</v>
      </c>
      <c r="O17" s="7">
        <f>O5*1.4</f>
        <v>14</v>
      </c>
      <c r="P17" s="8">
        <f>P5*1.4</f>
        <v>14</v>
      </c>
      <c r="Q17" s="7">
        <f>Q5*1.4</f>
        <v>14</v>
      </c>
      <c r="R17" s="8">
        <f>R5*1.4</f>
        <v>14</v>
      </c>
      <c r="S17" s="7">
        <f>S5*1.4</f>
        <v>14</v>
      </c>
      <c r="T17" s="8">
        <f>T5*1.4</f>
        <v>14</v>
      </c>
      <c r="U17" s="7">
        <f>U5*1.4</f>
        <v>14</v>
      </c>
    </row>
    <row r="18" spans="5:21" x14ac:dyDescent="0.25">
      <c r="F18" t="s">
        <v>30</v>
      </c>
      <c r="G18" s="7">
        <f>1.2*G5+MAX(G6,G7)+0.5*G8</f>
        <v>61.62853333333333</v>
      </c>
      <c r="H18" s="8">
        <f>1.2*H5+MAX(H6,H7)+0.5*H8</f>
        <v>42</v>
      </c>
      <c r="I18" s="7">
        <f>1.2*I5+MAX(I6,I7)+0.5*I8</f>
        <v>45.5</v>
      </c>
      <c r="J18" s="8">
        <f>1.2*J5+MAX(J6,J7)+0.5*J8</f>
        <v>49</v>
      </c>
      <c r="K18" s="7">
        <f>1.2*K5+MAX(K6,K7)+0.5*K8</f>
        <v>47.619200000000006</v>
      </c>
      <c r="L18" s="8">
        <f>1.2*L5+MAX(L6,L7)+0.5*L8</f>
        <v>50.240000000000009</v>
      </c>
      <c r="M18" s="7">
        <f>1.2*M5+MAX(M6,M7)+0.5*M8</f>
        <v>55.347199999999994</v>
      </c>
      <c r="N18" s="8">
        <f>1.2*N5+MAX(N6,N7)+0.5*N8</f>
        <v>56.633333333333333</v>
      </c>
      <c r="O18" s="7">
        <f>1.2*O5+MAX(O6,O7)+0.5*O8</f>
        <v>59.783333333333339</v>
      </c>
      <c r="P18" s="8">
        <f>1.2*P5+MAX(P6,P7)+0.5*P8</f>
        <v>62.84</v>
      </c>
      <c r="Q18" s="7">
        <f>1.2*Q5+MAX(Q6,Q7)+0.5*Q8</f>
        <v>66.106666666666669</v>
      </c>
      <c r="R18" s="8">
        <f>1.2*R5+MAX(R6,R7)+0.5*R8</f>
        <v>69.326666666666654</v>
      </c>
      <c r="S18" s="7">
        <f>1.2*S5+MAX(S6,S7)+0.5*S8</f>
        <v>72.5</v>
      </c>
      <c r="T18" s="8">
        <f>1.2*T5+MAX(T6,T7)+0.5*T8</f>
        <v>76</v>
      </c>
      <c r="U18" s="7">
        <f>1.2*U5+MAX(U6,U7)+0.5*U8</f>
        <v>79.5</v>
      </c>
    </row>
    <row r="19" spans="5:21" x14ac:dyDescent="0.25">
      <c r="F19" t="s">
        <v>29</v>
      </c>
      <c r="G19" s="7">
        <f>1.2*G5+G8+0.3*G6</f>
        <v>40.48856</v>
      </c>
      <c r="H19" s="8">
        <f>1.2*H5+H8+0.3*H6</f>
        <v>32.927999999999997</v>
      </c>
      <c r="I19" s="7">
        <f>1.2*I5+I8+0.3*I6</f>
        <v>34.019999999999996</v>
      </c>
      <c r="J19" s="8">
        <f>1.2*J5+J8+0.3*J6</f>
        <v>35.055999999999997</v>
      </c>
      <c r="K19" s="7">
        <f>1.2*K5+K8+0.3*K6</f>
        <v>36.285759999999996</v>
      </c>
      <c r="L19" s="8">
        <f>1.2*L5+L8+0.3*L6</f>
        <v>37.072000000000003</v>
      </c>
      <c r="M19" s="7">
        <f>1.2*M5+M8+0.3*M6</f>
        <v>38.60416</v>
      </c>
      <c r="N19" s="8">
        <f>1.2*N5+N8+0.3*N6</f>
        <v>38.99</v>
      </c>
      <c r="O19" s="7">
        <f>1.2*O5+O8+0.3*O6</f>
        <v>39.935000000000002</v>
      </c>
      <c r="P19" s="8">
        <f>1.2*P5+P8+0.3*P6</f>
        <v>40.852000000000004</v>
      </c>
      <c r="Q19" s="7">
        <f>1.2*Q5+Q8+0.3*Q6</f>
        <v>41.832000000000001</v>
      </c>
      <c r="R19" s="8">
        <f>1.2*R5+R8+0.3*R6</f>
        <v>42.798000000000002</v>
      </c>
      <c r="S19" s="7">
        <f>1.2*S5+S8+0.3*S6</f>
        <v>43.75</v>
      </c>
      <c r="T19" s="8">
        <f>1.2*T5+T8+0.3*T6</f>
        <v>44.8</v>
      </c>
      <c r="U19" s="7">
        <f>1.2*U5+U8+0.3*U6</f>
        <v>45.849999999999994</v>
      </c>
    </row>
    <row r="20" spans="5:21" x14ac:dyDescent="0.25">
      <c r="F20" t="s">
        <v>7</v>
      </c>
      <c r="G20" s="7">
        <f>G18-G19</f>
        <v>21.13997333333333</v>
      </c>
      <c r="H20" s="8">
        <f t="shared" ref="H20:U20" si="7">H18-H19</f>
        <v>9.0720000000000027</v>
      </c>
      <c r="I20" s="7">
        <f t="shared" si="7"/>
        <v>11.480000000000004</v>
      </c>
      <c r="J20" s="8">
        <f t="shared" si="7"/>
        <v>13.944000000000003</v>
      </c>
      <c r="K20" s="7">
        <f t="shared" si="7"/>
        <v>11.33344000000001</v>
      </c>
      <c r="L20" s="8">
        <f t="shared" si="7"/>
        <v>13.168000000000006</v>
      </c>
      <c r="M20" s="7">
        <f t="shared" si="7"/>
        <v>16.743039999999993</v>
      </c>
      <c r="N20" s="8">
        <f t="shared" si="7"/>
        <v>17.643333333333331</v>
      </c>
      <c r="O20" s="7">
        <f t="shared" si="7"/>
        <v>19.848333333333336</v>
      </c>
      <c r="P20" s="8">
        <f t="shared" si="7"/>
        <v>21.988</v>
      </c>
      <c r="Q20" s="7">
        <f t="shared" si="7"/>
        <v>24.274666666666668</v>
      </c>
      <c r="R20" s="8">
        <f t="shared" si="7"/>
        <v>26.528666666666652</v>
      </c>
      <c r="S20" s="7">
        <f t="shared" si="7"/>
        <v>28.75</v>
      </c>
      <c r="T20" s="8">
        <f t="shared" si="7"/>
        <v>31.200000000000003</v>
      </c>
      <c r="U20" s="7">
        <f t="shared" si="7"/>
        <v>33.650000000000006</v>
      </c>
    </row>
  </sheetData>
  <conditionalFormatting sqref="G14:U1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20:U2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3CFD-EFE3-407F-A236-8592CA39F5A4}">
  <dimension ref="B5:R27"/>
  <sheetViews>
    <sheetView topLeftCell="A4" workbookViewId="0">
      <selection activeCell="I17" sqref="I17"/>
    </sheetView>
  </sheetViews>
  <sheetFormatPr defaultRowHeight="15" x14ac:dyDescent="0.25"/>
  <cols>
    <col min="2" max="2" width="17" customWidth="1"/>
    <col min="3" max="13" width="9.5703125" bestFit="1" customWidth="1"/>
  </cols>
  <sheetData>
    <row r="5" spans="2:18" x14ac:dyDescent="0.25">
      <c r="D5" s="9" t="s">
        <v>14</v>
      </c>
      <c r="E5" s="10"/>
      <c r="F5" s="10"/>
      <c r="G5" s="10"/>
      <c r="H5" s="10"/>
      <c r="I5" s="10"/>
      <c r="J5" s="11"/>
    </row>
    <row r="6" spans="2:18" x14ac:dyDescent="0.25">
      <c r="B6" s="4"/>
      <c r="C6" s="4"/>
      <c r="D6" s="4">
        <v>15</v>
      </c>
      <c r="E6" s="4">
        <v>30</v>
      </c>
      <c r="F6" s="4">
        <v>45</v>
      </c>
      <c r="G6" s="4">
        <v>60</v>
      </c>
      <c r="H6" s="4">
        <v>75</v>
      </c>
      <c r="I6" s="4">
        <v>90</v>
      </c>
      <c r="J6" s="4">
        <v>105</v>
      </c>
      <c r="K6" s="2"/>
      <c r="L6" s="2"/>
      <c r="M6" s="2"/>
      <c r="N6" s="2"/>
      <c r="O6" s="2"/>
      <c r="P6" s="2"/>
    </row>
    <row r="7" spans="2:18" x14ac:dyDescent="0.25">
      <c r="B7" s="12" t="s">
        <v>16</v>
      </c>
      <c r="C7" s="4">
        <v>20</v>
      </c>
      <c r="D7" s="4">
        <v>1.2</v>
      </c>
      <c r="E7" s="4">
        <v>1.1200000000000001</v>
      </c>
      <c r="F7" s="4">
        <v>1.06</v>
      </c>
      <c r="G7" s="4">
        <v>1.02</v>
      </c>
      <c r="H7" s="4">
        <v>1</v>
      </c>
      <c r="I7" s="4">
        <v>1</v>
      </c>
      <c r="J7" s="4">
        <v>1</v>
      </c>
    </row>
    <row r="8" spans="2:18" x14ac:dyDescent="0.25">
      <c r="B8" s="12"/>
      <c r="C8" s="4">
        <v>30</v>
      </c>
      <c r="D8" s="4">
        <v>1.2</v>
      </c>
      <c r="E8" s="4">
        <v>1.17</v>
      </c>
      <c r="F8" s="4">
        <v>1.1499999999999999</v>
      </c>
      <c r="G8" s="4">
        <v>1.1299999999999999</v>
      </c>
      <c r="H8" s="4">
        <v>1.1200000000000001</v>
      </c>
      <c r="I8" s="4">
        <v>1.1100000000000001</v>
      </c>
      <c r="J8" s="4">
        <v>1.1000000000000001</v>
      </c>
    </row>
    <row r="9" spans="2:18" x14ac:dyDescent="0.25">
      <c r="B9" s="12"/>
      <c r="C9" s="4">
        <v>40</v>
      </c>
      <c r="D9" s="4">
        <v>1.2</v>
      </c>
      <c r="E9" s="4">
        <v>1.19</v>
      </c>
      <c r="F9" s="4">
        <v>1.17</v>
      </c>
      <c r="G9" s="4">
        <v>1.1599999999999999</v>
      </c>
      <c r="H9" s="4">
        <v>1.1599999999999999</v>
      </c>
      <c r="I9" s="4">
        <v>1.1499999999999999</v>
      </c>
      <c r="J9" s="4">
        <v>1.1499999999999999</v>
      </c>
    </row>
    <row r="10" spans="2:18" x14ac:dyDescent="0.25">
      <c r="B10" s="12"/>
      <c r="C10" s="4">
        <v>50</v>
      </c>
      <c r="D10" s="4">
        <v>1.2</v>
      </c>
      <c r="E10" s="4">
        <v>1.2</v>
      </c>
      <c r="F10" s="4">
        <v>1.19</v>
      </c>
      <c r="G10" s="4">
        <v>1.19</v>
      </c>
      <c r="H10" s="4">
        <v>1.19</v>
      </c>
      <c r="I10" s="4">
        <v>1.18</v>
      </c>
      <c r="J10" s="4">
        <v>1.18</v>
      </c>
    </row>
    <row r="12" spans="2:18" x14ac:dyDescent="0.25">
      <c r="B12" t="s">
        <v>17</v>
      </c>
      <c r="D12">
        <f>'ASCE-7-22 ASD-LRFD Comparision'!G4</f>
        <v>58</v>
      </c>
      <c r="E12">
        <f>'ASCE-7-22 ASD-LRFD Comparision'!H4</f>
        <v>20</v>
      </c>
      <c r="F12">
        <f>'ASCE-7-22 ASD-LRFD Comparision'!I4</f>
        <v>25</v>
      </c>
      <c r="G12">
        <f>'ASCE-7-22 ASD-LRFD Comparision'!J4</f>
        <v>30</v>
      </c>
      <c r="H12">
        <f>'ASCE-7-22 ASD-LRFD Comparision'!K4</f>
        <v>36</v>
      </c>
      <c r="I12">
        <f>'ASCE-7-22 ASD-LRFD Comparision'!L4</f>
        <v>40</v>
      </c>
      <c r="J12">
        <f>'ASCE-7-22 ASD-LRFD Comparision'!M4</f>
        <v>48</v>
      </c>
      <c r="K12">
        <f>'ASCE-7-22 ASD-LRFD Comparision'!N4</f>
        <v>50</v>
      </c>
      <c r="L12">
        <f>'ASCE-7-22 ASD-LRFD Comparision'!O4</f>
        <v>55</v>
      </c>
      <c r="M12">
        <f>'ASCE-7-22 ASD-LRFD Comparision'!P4</f>
        <v>60</v>
      </c>
      <c r="N12">
        <f>'ASCE-7-22 ASD-LRFD Comparision'!Q4</f>
        <v>65</v>
      </c>
      <c r="O12">
        <f>'ASCE-7-22 ASD-LRFD Comparision'!R4</f>
        <v>70</v>
      </c>
      <c r="P12">
        <f>'ASCE-7-22 ASD-LRFD Comparision'!S4</f>
        <v>75</v>
      </c>
      <c r="Q12">
        <f>'ASCE-7-22 ASD-LRFD Comparision'!T4</f>
        <v>80</v>
      </c>
      <c r="R12">
        <f>'ASCE-7-22 ASD-LRFD Comparision'!U4</f>
        <v>85</v>
      </c>
    </row>
    <row r="13" spans="2:18" x14ac:dyDescent="0.25">
      <c r="D13">
        <f>'ASCE-7-22 ASD-LRFD Comparision'!$C$5</f>
        <v>20</v>
      </c>
      <c r="E13">
        <f>'ASCE-7-22 ASD-LRFD Comparision'!$C$5</f>
        <v>20</v>
      </c>
      <c r="F13">
        <f>'ASCE-7-22 ASD-LRFD Comparision'!$C$5</f>
        <v>20</v>
      </c>
      <c r="G13">
        <f>'ASCE-7-22 ASD-LRFD Comparision'!$C$5</f>
        <v>20</v>
      </c>
      <c r="H13">
        <f>'ASCE-7-22 ASD-LRFD Comparision'!$C$5</f>
        <v>20</v>
      </c>
      <c r="I13">
        <f>'ASCE-7-22 ASD-LRFD Comparision'!$C$5</f>
        <v>20</v>
      </c>
      <c r="J13">
        <f>'ASCE-7-22 ASD-LRFD Comparision'!$C$5</f>
        <v>20</v>
      </c>
      <c r="K13">
        <f>'ASCE-7-22 ASD-LRFD Comparision'!$C$5</f>
        <v>20</v>
      </c>
      <c r="L13">
        <f>'ASCE-7-22 ASD-LRFD Comparision'!$C$5</f>
        <v>20</v>
      </c>
      <c r="M13">
        <f>'ASCE-7-22 ASD-LRFD Comparision'!$C$5</f>
        <v>20</v>
      </c>
      <c r="N13">
        <f>'ASCE-7-22 ASD-LRFD Comparision'!$C$5</f>
        <v>20</v>
      </c>
      <c r="O13">
        <f>'ASCE-7-22 ASD-LRFD Comparision'!$C$5</f>
        <v>20</v>
      </c>
      <c r="P13">
        <f>'ASCE-7-22 ASD-LRFD Comparision'!$C$5</f>
        <v>20</v>
      </c>
      <c r="Q13">
        <f>'ASCE-7-22 ASD-LRFD Comparision'!$C$5</f>
        <v>20</v>
      </c>
      <c r="R13">
        <f>'ASCE-7-22 ASD-LRFD Comparision'!$C$5</f>
        <v>20</v>
      </c>
    </row>
    <row r="14" spans="2:18" x14ac:dyDescent="0.25">
      <c r="C14" s="2"/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8" x14ac:dyDescent="0.25">
      <c r="B15" t="s">
        <v>26</v>
      </c>
      <c r="C15" s="2"/>
      <c r="D15">
        <f t="shared" ref="D15:E15" si="0">(D21*(D18-D12)*(D20-D13)+D22*(D12-D17)*(D20-D13)+D23*(D18-D12)*(D13-D19)+D24*(D12-D17)*(D13-D19))/((D18-D17)*(D20-D19))</f>
        <v>1.0253333333333334</v>
      </c>
      <c r="E15">
        <f t="shared" si="0"/>
        <v>1.1733333333333333</v>
      </c>
      <c r="F15">
        <f>(F21*(F18-F12)*(F20-F13)+F22*(F12-F17)*(F20-F13)+F23*(F18-F12)*(F13-F19)+F24*(F12-F17)*(F13-F19))/((F18-F17)*(F20-F19))</f>
        <v>1.1466666666666667</v>
      </c>
      <c r="G15">
        <f t="shared" ref="G15:Q15" si="1">(G21*(G18-G12)*(G20-G13)+G22*(G12-G17)*(G20-G13)+G23*(G18-G12)*(G13-G19)+G24*(G12-G17)*(G13-G19))/((G18-G17)*(G20-G19))</f>
        <v>1.1200000000000001</v>
      </c>
      <c r="H15">
        <f t="shared" si="1"/>
        <v>1.0960000000000001</v>
      </c>
      <c r="I15">
        <f t="shared" si="1"/>
        <v>1.0800000000000003</v>
      </c>
      <c r="J15">
        <f t="shared" si="1"/>
        <v>1.052</v>
      </c>
      <c r="K15">
        <f t="shared" si="1"/>
        <v>1.0466666666666666</v>
      </c>
      <c r="L15">
        <f t="shared" si="1"/>
        <v>1.0333333333333334</v>
      </c>
      <c r="M15">
        <f t="shared" si="1"/>
        <v>1.02</v>
      </c>
      <c r="N15">
        <f t="shared" si="1"/>
        <v>1.0133333333333334</v>
      </c>
      <c r="O15">
        <f t="shared" si="1"/>
        <v>1.0066666666666666</v>
      </c>
      <c r="P15">
        <f t="shared" si="1"/>
        <v>1</v>
      </c>
      <c r="Q15">
        <f t="shared" si="1"/>
        <v>1</v>
      </c>
      <c r="R15">
        <f>(R21*(R18-R12)*(R20-R13)+R22*(R12-R17)*(R20-R13)+R23*(R18-R12)*(R13-R19)+R24*(R12-R17)*(R13-R19))/((R18-R17)*(R20-R19))</f>
        <v>1</v>
      </c>
    </row>
    <row r="17" spans="2:18" x14ac:dyDescent="0.25">
      <c r="B17" t="s">
        <v>18</v>
      </c>
      <c r="D17">
        <f t="shared" ref="D17:E17" si="2">INDEX($D$6:$J$6, MATCH(D12, $D$6:$J$6, 1))</f>
        <v>45</v>
      </c>
      <c r="E17">
        <f t="shared" si="2"/>
        <v>15</v>
      </c>
      <c r="F17">
        <f>INDEX($D$6:$J$6, MATCH(F12, $D$6:$J$6, 1))</f>
        <v>15</v>
      </c>
      <c r="G17">
        <f t="shared" ref="G17:R17" si="3">INDEX($D$6:$J$6, MATCH(G12, $D$6:$J$6, 1))</f>
        <v>30</v>
      </c>
      <c r="H17">
        <f t="shared" si="3"/>
        <v>30</v>
      </c>
      <c r="I17">
        <f t="shared" si="3"/>
        <v>30</v>
      </c>
      <c r="J17">
        <f t="shared" si="3"/>
        <v>45</v>
      </c>
      <c r="K17">
        <f t="shared" si="3"/>
        <v>45</v>
      </c>
      <c r="L17">
        <f t="shared" si="3"/>
        <v>45</v>
      </c>
      <c r="M17">
        <f t="shared" si="3"/>
        <v>60</v>
      </c>
      <c r="N17">
        <f t="shared" si="3"/>
        <v>60</v>
      </c>
      <c r="O17">
        <f t="shared" si="3"/>
        <v>60</v>
      </c>
      <c r="P17">
        <f t="shared" si="3"/>
        <v>75</v>
      </c>
      <c r="Q17">
        <f t="shared" si="3"/>
        <v>75</v>
      </c>
      <c r="R17">
        <f t="shared" si="3"/>
        <v>75</v>
      </c>
    </row>
    <row r="18" spans="2:18" x14ac:dyDescent="0.25">
      <c r="B18" t="s">
        <v>19</v>
      </c>
      <c r="D18">
        <f t="shared" ref="D18:E18" si="4">INDEX($D$6:$J$6, MATCH(D12, $D$6:$J$6, 1)+1)</f>
        <v>60</v>
      </c>
      <c r="E18">
        <f t="shared" si="4"/>
        <v>30</v>
      </c>
      <c r="F18">
        <f>INDEX($D$6:$J$6, MATCH(F12, $D$6:$J$6, 1)+1)</f>
        <v>30</v>
      </c>
      <c r="G18">
        <f t="shared" ref="G18:R18" si="5">INDEX($D$6:$J$6, MATCH(G12, $D$6:$J$6, 1)+1)</f>
        <v>45</v>
      </c>
      <c r="H18">
        <f t="shared" si="5"/>
        <v>45</v>
      </c>
      <c r="I18">
        <f t="shared" si="5"/>
        <v>45</v>
      </c>
      <c r="J18">
        <f t="shared" si="5"/>
        <v>60</v>
      </c>
      <c r="K18">
        <f t="shared" si="5"/>
        <v>60</v>
      </c>
      <c r="L18">
        <f t="shared" si="5"/>
        <v>60</v>
      </c>
      <c r="M18">
        <f t="shared" si="5"/>
        <v>75</v>
      </c>
      <c r="N18">
        <f t="shared" si="5"/>
        <v>75</v>
      </c>
      <c r="O18">
        <f t="shared" si="5"/>
        <v>75</v>
      </c>
      <c r="P18">
        <f t="shared" si="5"/>
        <v>90</v>
      </c>
      <c r="Q18">
        <f t="shared" si="5"/>
        <v>90</v>
      </c>
      <c r="R18">
        <f t="shared" si="5"/>
        <v>90</v>
      </c>
    </row>
    <row r="19" spans="2:18" x14ac:dyDescent="0.25">
      <c r="B19" t="s">
        <v>20</v>
      </c>
      <c r="D19">
        <f t="shared" ref="D19:E19" si="6">INDEX($C$7:$C$10, MATCH(D13, $C$7:$C$10, 1))</f>
        <v>20</v>
      </c>
      <c r="E19">
        <f t="shared" si="6"/>
        <v>20</v>
      </c>
      <c r="F19">
        <f>INDEX($C$7:$C$10, MATCH(F13, $C$7:$C$10, 1))</f>
        <v>20</v>
      </c>
      <c r="G19">
        <f t="shared" ref="G19:R19" si="7">INDEX($C$7:$C$10, MATCH(G13, $C$7:$C$10, 1))</f>
        <v>20</v>
      </c>
      <c r="H19">
        <f t="shared" si="7"/>
        <v>20</v>
      </c>
      <c r="I19">
        <f t="shared" si="7"/>
        <v>20</v>
      </c>
      <c r="J19">
        <f t="shared" si="7"/>
        <v>20</v>
      </c>
      <c r="K19">
        <f t="shared" si="7"/>
        <v>20</v>
      </c>
      <c r="L19">
        <f t="shared" si="7"/>
        <v>20</v>
      </c>
      <c r="M19">
        <f t="shared" si="7"/>
        <v>20</v>
      </c>
      <c r="N19">
        <f t="shared" si="7"/>
        <v>20</v>
      </c>
      <c r="O19">
        <f t="shared" si="7"/>
        <v>20</v>
      </c>
      <c r="P19">
        <f t="shared" si="7"/>
        <v>20</v>
      </c>
      <c r="Q19">
        <f t="shared" si="7"/>
        <v>20</v>
      </c>
      <c r="R19">
        <f t="shared" si="7"/>
        <v>20</v>
      </c>
    </row>
    <row r="20" spans="2:18" x14ac:dyDescent="0.25">
      <c r="B20" t="s">
        <v>21</v>
      </c>
      <c r="C20" s="2"/>
      <c r="D20">
        <f t="shared" ref="D20:E20" si="8">INDEX($C$7:$C$10, MATCH(D13, $C$7:$C$10, 1)+1)</f>
        <v>30</v>
      </c>
      <c r="E20">
        <f t="shared" si="8"/>
        <v>30</v>
      </c>
      <c r="F20">
        <f>INDEX($C$7:$C$10, MATCH(F13, $C$7:$C$10, 1)+1)</f>
        <v>30</v>
      </c>
      <c r="G20">
        <f t="shared" ref="G20:R20" si="9">INDEX($C$7:$C$10, MATCH(G13, $C$7:$C$10, 1)+1)</f>
        <v>30</v>
      </c>
      <c r="H20">
        <f t="shared" si="9"/>
        <v>30</v>
      </c>
      <c r="I20">
        <f t="shared" si="9"/>
        <v>30</v>
      </c>
      <c r="J20">
        <f t="shared" si="9"/>
        <v>30</v>
      </c>
      <c r="K20">
        <f t="shared" si="9"/>
        <v>30</v>
      </c>
      <c r="L20">
        <f t="shared" si="9"/>
        <v>30</v>
      </c>
      <c r="M20">
        <f t="shared" si="9"/>
        <v>30</v>
      </c>
      <c r="N20">
        <f t="shared" si="9"/>
        <v>30</v>
      </c>
      <c r="O20">
        <f t="shared" si="9"/>
        <v>30</v>
      </c>
      <c r="P20">
        <f t="shared" si="9"/>
        <v>30</v>
      </c>
      <c r="Q20">
        <f t="shared" si="9"/>
        <v>30</v>
      </c>
      <c r="R20">
        <f t="shared" si="9"/>
        <v>30</v>
      </c>
    </row>
    <row r="21" spans="2:18" x14ac:dyDescent="0.25">
      <c r="B21" t="s">
        <v>22</v>
      </c>
      <c r="C21" s="2"/>
      <c r="D21">
        <f t="shared" ref="D21:E21" si="10">INDEX($D$7:$J$10, MATCH(D13, $C$7:$C$10, 1), MATCH(D12, $D$6:$J$6, 1))</f>
        <v>1.06</v>
      </c>
      <c r="E21">
        <f t="shared" si="10"/>
        <v>1.2</v>
      </c>
      <c r="F21">
        <f>INDEX($D$7:$J$10, MATCH(F13, $C$7:$C$10, 1), MATCH(F12, $D$6:$J$6, 1))</f>
        <v>1.2</v>
      </c>
      <c r="G21">
        <f t="shared" ref="G21:R21" si="11">INDEX($D$7:$J$10, MATCH(G13, $C$7:$C$10, 1), MATCH(G12, $D$6:$J$6, 1))</f>
        <v>1.1200000000000001</v>
      </c>
      <c r="H21">
        <f t="shared" si="11"/>
        <v>1.1200000000000001</v>
      </c>
      <c r="I21">
        <f t="shared" si="11"/>
        <v>1.1200000000000001</v>
      </c>
      <c r="J21">
        <f t="shared" si="11"/>
        <v>1.06</v>
      </c>
      <c r="K21">
        <f t="shared" si="11"/>
        <v>1.06</v>
      </c>
      <c r="L21">
        <f t="shared" si="11"/>
        <v>1.06</v>
      </c>
      <c r="M21">
        <f t="shared" si="11"/>
        <v>1.02</v>
      </c>
      <c r="N21">
        <f t="shared" si="11"/>
        <v>1.02</v>
      </c>
      <c r="O21">
        <f t="shared" si="11"/>
        <v>1.02</v>
      </c>
      <c r="P21">
        <f t="shared" si="11"/>
        <v>1</v>
      </c>
      <c r="Q21">
        <f t="shared" si="11"/>
        <v>1</v>
      </c>
      <c r="R21">
        <f t="shared" si="11"/>
        <v>1</v>
      </c>
    </row>
    <row r="22" spans="2:18" x14ac:dyDescent="0.25">
      <c r="B22" t="s">
        <v>23</v>
      </c>
      <c r="D22">
        <f t="shared" ref="D22:E22" si="12">INDEX($D$7:$J$10, MATCH(D13, $C$7:$C$10, 1), MATCH(D12, $D$6:$J$6, 1)+1)</f>
        <v>1.02</v>
      </c>
      <c r="E22">
        <f t="shared" si="12"/>
        <v>1.1200000000000001</v>
      </c>
      <c r="F22">
        <f>INDEX($D$7:$J$10, MATCH(F13, $C$7:$C$10, 1), MATCH(F12, $D$6:$J$6, 1)+1)</f>
        <v>1.1200000000000001</v>
      </c>
      <c r="G22">
        <f t="shared" ref="G22:R22" si="13">INDEX($D$7:$J$10, MATCH(G13, $C$7:$C$10, 1), MATCH(G12, $D$6:$J$6, 1)+1)</f>
        <v>1.06</v>
      </c>
      <c r="H22">
        <f t="shared" si="13"/>
        <v>1.06</v>
      </c>
      <c r="I22">
        <f t="shared" si="13"/>
        <v>1.06</v>
      </c>
      <c r="J22">
        <f t="shared" si="13"/>
        <v>1.02</v>
      </c>
      <c r="K22">
        <f t="shared" si="13"/>
        <v>1.02</v>
      </c>
      <c r="L22">
        <f t="shared" si="13"/>
        <v>1.02</v>
      </c>
      <c r="M22">
        <f t="shared" si="13"/>
        <v>1</v>
      </c>
      <c r="N22">
        <f t="shared" si="13"/>
        <v>1</v>
      </c>
      <c r="O22">
        <f t="shared" si="13"/>
        <v>1</v>
      </c>
      <c r="P22">
        <f t="shared" si="13"/>
        <v>1</v>
      </c>
      <c r="Q22">
        <f t="shared" si="13"/>
        <v>1</v>
      </c>
      <c r="R22">
        <f t="shared" si="13"/>
        <v>1</v>
      </c>
    </row>
    <row r="23" spans="2:18" x14ac:dyDescent="0.25">
      <c r="B23" t="s">
        <v>24</v>
      </c>
      <c r="D23">
        <f t="shared" ref="D23:E23" si="14">INDEX($D$7:$J$10, MATCH(D13, $C$7:$C$10, 1)+1, MATCH(D12, $D$6:$J$6, 1))</f>
        <v>1.1499999999999999</v>
      </c>
      <c r="E23">
        <f t="shared" si="14"/>
        <v>1.2</v>
      </c>
      <c r="F23">
        <f>INDEX($D$7:$J$10, MATCH(F13, $C$7:$C$10, 1)+1, MATCH(F12, $D$6:$J$6, 1))</f>
        <v>1.2</v>
      </c>
      <c r="G23">
        <f t="shared" ref="G23:R23" si="15">INDEX($D$7:$J$10, MATCH(G13, $C$7:$C$10, 1)+1, MATCH(G12, $D$6:$J$6, 1))</f>
        <v>1.17</v>
      </c>
      <c r="H23">
        <f t="shared" si="15"/>
        <v>1.17</v>
      </c>
      <c r="I23">
        <f t="shared" si="15"/>
        <v>1.17</v>
      </c>
      <c r="J23">
        <f t="shared" si="15"/>
        <v>1.1499999999999999</v>
      </c>
      <c r="K23">
        <f t="shared" si="15"/>
        <v>1.1499999999999999</v>
      </c>
      <c r="L23">
        <f t="shared" si="15"/>
        <v>1.1499999999999999</v>
      </c>
      <c r="M23">
        <f t="shared" si="15"/>
        <v>1.1299999999999999</v>
      </c>
      <c r="N23">
        <f t="shared" si="15"/>
        <v>1.1299999999999999</v>
      </c>
      <c r="O23">
        <f t="shared" si="15"/>
        <v>1.1299999999999999</v>
      </c>
      <c r="P23">
        <f t="shared" si="15"/>
        <v>1.1200000000000001</v>
      </c>
      <c r="Q23">
        <f t="shared" si="15"/>
        <v>1.1200000000000001</v>
      </c>
      <c r="R23">
        <f t="shared" si="15"/>
        <v>1.1200000000000001</v>
      </c>
    </row>
    <row r="24" spans="2:18" x14ac:dyDescent="0.25">
      <c r="B24" t="s">
        <v>25</v>
      </c>
      <c r="D24">
        <f t="shared" ref="D24:E24" si="16">INDEX($D$7:$J$10, MATCH(D13, $C$7:$C$10, 1)+1, MATCH(D12, $D$6:$J$6, 1)+1)</f>
        <v>1.1299999999999999</v>
      </c>
      <c r="E24">
        <f t="shared" si="16"/>
        <v>1.17</v>
      </c>
      <c r="F24">
        <f>INDEX($D$7:$J$10, MATCH(F13, $C$7:$C$10, 1)+1, MATCH(F12, $D$6:$J$6, 1)+1)</f>
        <v>1.17</v>
      </c>
      <c r="G24">
        <f t="shared" ref="G24:R24" si="17">INDEX($D$7:$J$10, MATCH(G13, $C$7:$C$10, 1)+1, MATCH(G12, $D$6:$J$6, 1)+1)</f>
        <v>1.1499999999999999</v>
      </c>
      <c r="H24">
        <f t="shared" si="17"/>
        <v>1.1499999999999999</v>
      </c>
      <c r="I24">
        <f t="shared" si="17"/>
        <v>1.1499999999999999</v>
      </c>
      <c r="J24">
        <f t="shared" si="17"/>
        <v>1.1299999999999999</v>
      </c>
      <c r="K24">
        <f t="shared" si="17"/>
        <v>1.1299999999999999</v>
      </c>
      <c r="L24">
        <f t="shared" si="17"/>
        <v>1.1299999999999999</v>
      </c>
      <c r="M24">
        <f t="shared" si="17"/>
        <v>1.1200000000000001</v>
      </c>
      <c r="N24">
        <f t="shared" si="17"/>
        <v>1.1200000000000001</v>
      </c>
      <c r="O24">
        <f t="shared" si="17"/>
        <v>1.1200000000000001</v>
      </c>
      <c r="P24">
        <f t="shared" si="17"/>
        <v>1.1100000000000001</v>
      </c>
      <c r="Q24">
        <f t="shared" si="17"/>
        <v>1.1100000000000001</v>
      </c>
      <c r="R24">
        <f t="shared" si="17"/>
        <v>1.1100000000000001</v>
      </c>
    </row>
    <row r="27" spans="2:18" x14ac:dyDescent="0.25">
      <c r="B27" t="s">
        <v>27</v>
      </c>
      <c r="D27">
        <f>0.7*D12*1*D15</f>
        <v>41.62853333333333</v>
      </c>
      <c r="E27">
        <f t="shared" ref="E27:R27" si="18">0.7*E12*1*E15</f>
        <v>16.426666666666666</v>
      </c>
      <c r="F27">
        <f t="shared" si="18"/>
        <v>20.066666666666666</v>
      </c>
      <c r="G27">
        <f t="shared" si="18"/>
        <v>23.520000000000003</v>
      </c>
      <c r="H27">
        <f t="shared" si="18"/>
        <v>27.619200000000003</v>
      </c>
      <c r="I27">
        <f t="shared" si="18"/>
        <v>30.240000000000009</v>
      </c>
      <c r="J27">
        <f>0.7*J12*1*J15</f>
        <v>35.347199999999994</v>
      </c>
      <c r="K27">
        <f t="shared" si="18"/>
        <v>36.633333333333333</v>
      </c>
      <c r="L27">
        <f t="shared" si="18"/>
        <v>39.783333333333339</v>
      </c>
      <c r="M27">
        <f t="shared" si="18"/>
        <v>42.84</v>
      </c>
      <c r="N27">
        <f t="shared" si="18"/>
        <v>46.106666666666669</v>
      </c>
      <c r="O27">
        <f t="shared" si="18"/>
        <v>49.326666666666661</v>
      </c>
      <c r="P27">
        <f t="shared" si="18"/>
        <v>52.5</v>
      </c>
      <c r="Q27">
        <f t="shared" si="18"/>
        <v>56</v>
      </c>
      <c r="R27">
        <f t="shared" si="18"/>
        <v>59.499999999999993</v>
      </c>
    </row>
  </sheetData>
  <mergeCells count="2">
    <mergeCell ref="D5:J5"/>
    <mergeCell ref="B7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ASCE-7-22 ASD-LRFD Comparision</vt:lpstr>
      <vt:lpstr>ASCE-7-22 Snow Load Calculation</vt:lpstr>
    </vt:vector>
  </TitlesOfParts>
  <Company>ARCO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Kukulka, Artur</dc:creator>
  <cp:lastModifiedBy>Szymborski, Michael</cp:lastModifiedBy>
  <dcterms:created xsi:type="dcterms:W3CDTF">2025-11-19T14:07:31Z</dcterms:created>
  <dcterms:modified xsi:type="dcterms:W3CDTF">2026-01-19T16:31:01Z</dcterms:modified>
</cp:coreProperties>
</file>